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4FCF7244-B029-411B-B332-AB12801A7F5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del Financials" sheetId="3" r:id="rId1"/>
  </sheets>
  <definedNames>
    <definedName name="_xlnm._FilterDatabase" localSheetId="0" hidden="1">'Model Financials'!$A$1:$V$6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3" l="1"/>
  <c r="U6" i="3"/>
  <c r="V5" i="3"/>
  <c r="U5" i="3"/>
  <c r="V4" i="3"/>
  <c r="U4" i="3"/>
  <c r="V3" i="3"/>
  <c r="U3" i="3"/>
  <c r="U2" i="3"/>
</calcChain>
</file>

<file path=xl/sharedStrings.xml><?xml version="1.0" encoding="utf-8"?>
<sst xmlns="http://schemas.openxmlformats.org/spreadsheetml/2006/main" count="23" uniqueCount="23">
  <si>
    <t>Year</t>
  </si>
  <si>
    <t>Revenue</t>
  </si>
  <si>
    <t>COGS</t>
  </si>
  <si>
    <t>SG&amp;A</t>
  </si>
  <si>
    <t>D&amp;A</t>
  </si>
  <si>
    <t>Interest Expense</t>
  </si>
  <si>
    <t>Tax Expense</t>
  </si>
  <si>
    <t>Accounts Receivable</t>
  </si>
  <si>
    <t>Inventory</t>
  </si>
  <si>
    <t>Beginning PP&amp;E</t>
  </si>
  <si>
    <t>Capital Expenditure</t>
  </si>
  <si>
    <t>Ending PP&amp;E</t>
  </si>
  <si>
    <t>Accounts Payable</t>
  </si>
  <si>
    <t>Short-Term Debt</t>
  </si>
  <si>
    <t>Long-Term Debt</t>
  </si>
  <si>
    <t>Beginning Equity</t>
  </si>
  <si>
    <t>Net Income</t>
  </si>
  <si>
    <t>Dividends Paid</t>
  </si>
  <si>
    <t>New Equity Issued</t>
  </si>
  <si>
    <t>Ending Equity</t>
  </si>
  <si>
    <t>PP&amp;E Check</t>
  </si>
  <si>
    <t>Equity Check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</si>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</sst>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"/>
  <sheetViews>
    <sheetView tabSelected="1" workbookViewId="0">
      <pane xSplit="1" ySplit="1" topLeftCell="F2" activePane="bottomRight" state="frozen"/>
      <selection pane="bottomRight" activeCell="H1" sqref="H1:H1048576"/>
      <selection pane="bottomLeft"/>
      <selection pane="topRight"/>
    </sheetView>
  </sheetViews>
  <sheetFormatPr defaultRowHeight="15"/>
  <cols>
    <col min="1" max="5" width="12" customWidth="1"/>
    <col min="6" max="6" width="18" customWidth="1"/>
    <col min="7" max="7" width="13" customWidth="1"/>
    <col min="8" max="8" width="21" customWidth="1"/>
    <col min="9" max="9" width="12" customWidth="1"/>
    <col min="10" max="10" width="16" customWidth="1"/>
    <col min="11" max="11" width="21" customWidth="1"/>
    <col min="12" max="12" width="13" customWidth="1"/>
    <col min="13" max="13" width="18" customWidth="1"/>
    <col min="14" max="14" width="17" customWidth="1"/>
    <col min="15" max="15" width="16" customWidth="1"/>
    <col min="16" max="16" width="18" customWidth="1"/>
    <col min="17" max="17" width="12" customWidth="1"/>
    <col min="18" max="18" width="16" customWidth="1"/>
    <col min="19" max="19" width="19" customWidth="1"/>
    <col min="20" max="20" width="15" customWidth="1"/>
    <col min="21" max="21" width="14" customWidth="1"/>
    <col min="22" max="22" width="17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2021</v>
      </c>
      <c r="B2">
        <v>10000</v>
      </c>
      <c r="C2">
        <v>5200</v>
      </c>
      <c r="D2">
        <v>1900</v>
      </c>
      <c r="E2">
        <v>400</v>
      </c>
      <c r="F2">
        <v>180</v>
      </c>
      <c r="G2">
        <v>580</v>
      </c>
      <c r="H2">
        <v>950</v>
      </c>
      <c r="I2">
        <v>1200</v>
      </c>
      <c r="J2">
        <v>4300</v>
      </c>
      <c r="K2">
        <v>500</v>
      </c>
      <c r="L2">
        <v>4400</v>
      </c>
      <c r="M2">
        <v>850</v>
      </c>
      <c r="N2">
        <v>300</v>
      </c>
      <c r="O2">
        <v>2700</v>
      </c>
      <c r="Q2">
        <v>1740</v>
      </c>
      <c r="R2">
        <v>1392</v>
      </c>
      <c r="S2">
        <v>0</v>
      </c>
      <c r="T2">
        <v>3800</v>
      </c>
      <c r="U2">
        <f>L2-J2-K2+E2</f>
        <v>0</v>
      </c>
      <c r="V2" t="s">
        <v>22</v>
      </c>
    </row>
    <row r="3" spans="1:22">
      <c r="A3">
        <v>2022</v>
      </c>
      <c r="B3">
        <v>10850</v>
      </c>
      <c r="C3">
        <v>5650</v>
      </c>
      <c r="D3">
        <v>2025</v>
      </c>
      <c r="E3">
        <v>430</v>
      </c>
      <c r="F3">
        <v>165</v>
      </c>
      <c r="G3">
        <v>650</v>
      </c>
      <c r="H3">
        <v>1010</v>
      </c>
      <c r="I3">
        <v>1275</v>
      </c>
      <c r="J3">
        <v>4400</v>
      </c>
      <c r="K3">
        <v>525</v>
      </c>
      <c r="L3">
        <v>4495</v>
      </c>
      <c r="M3">
        <v>900</v>
      </c>
      <c r="N3">
        <v>250</v>
      </c>
      <c r="O3">
        <v>2550</v>
      </c>
      <c r="P3">
        <v>3800</v>
      </c>
      <c r="Q3">
        <v>1930</v>
      </c>
      <c r="R3">
        <v>1544</v>
      </c>
      <c r="S3">
        <v>0</v>
      </c>
      <c r="T3">
        <v>4186</v>
      </c>
      <c r="U3">
        <f>L3-J3-K3+E3</f>
        <v>0</v>
      </c>
      <c r="V3">
        <f>T3-P3-Q3+R3-S3</f>
        <v>0</v>
      </c>
    </row>
    <row r="4" spans="1:22">
      <c r="A4">
        <v>2023</v>
      </c>
      <c r="B4">
        <v>11950</v>
      </c>
      <c r="C4">
        <v>6150</v>
      </c>
      <c r="D4">
        <v>2180</v>
      </c>
      <c r="E4">
        <v>465</v>
      </c>
      <c r="F4">
        <v>150</v>
      </c>
      <c r="G4">
        <v>790</v>
      </c>
      <c r="H4">
        <v>1110</v>
      </c>
      <c r="I4">
        <v>1380</v>
      </c>
      <c r="J4">
        <v>4495</v>
      </c>
      <c r="K4">
        <v>570</v>
      </c>
      <c r="L4">
        <v>4600</v>
      </c>
      <c r="M4">
        <v>970</v>
      </c>
      <c r="N4">
        <v>200</v>
      </c>
      <c r="O4">
        <v>2350</v>
      </c>
      <c r="P4">
        <v>4186</v>
      </c>
      <c r="Q4">
        <v>2215</v>
      </c>
      <c r="R4">
        <v>1772</v>
      </c>
      <c r="S4">
        <v>0</v>
      </c>
      <c r="T4">
        <v>4629</v>
      </c>
      <c r="U4">
        <f>L4-J4-K4+E4</f>
        <v>0</v>
      </c>
      <c r="V4">
        <f>T4-P4-Q4+R4-S4</f>
        <v>0</v>
      </c>
    </row>
    <row r="5" spans="1:22">
      <c r="A5">
        <v>2024</v>
      </c>
      <c r="B5">
        <v>13250</v>
      </c>
      <c r="C5">
        <v>6750</v>
      </c>
      <c r="D5">
        <v>2385</v>
      </c>
      <c r="E5">
        <v>505</v>
      </c>
      <c r="F5">
        <v>135</v>
      </c>
      <c r="G5">
        <v>870</v>
      </c>
      <c r="H5">
        <v>1215</v>
      </c>
      <c r="I5">
        <v>1510</v>
      </c>
      <c r="J5">
        <v>4600</v>
      </c>
      <c r="K5">
        <v>620</v>
      </c>
      <c r="L5">
        <v>4715</v>
      </c>
      <c r="M5">
        <v>1050</v>
      </c>
      <c r="N5">
        <v>150</v>
      </c>
      <c r="O5">
        <v>2100</v>
      </c>
      <c r="P5">
        <v>4629</v>
      </c>
      <c r="Q5">
        <v>2605</v>
      </c>
      <c r="R5">
        <v>2084</v>
      </c>
      <c r="S5">
        <v>0</v>
      </c>
      <c r="T5">
        <v>5150</v>
      </c>
      <c r="U5">
        <f>L5-J5-K5+E5</f>
        <v>0</v>
      </c>
      <c r="V5">
        <f>T5-P5-Q5+R5-S5</f>
        <v>0</v>
      </c>
    </row>
    <row r="6" spans="1:22">
      <c r="A6">
        <v>2025</v>
      </c>
      <c r="B6">
        <v>14750</v>
      </c>
      <c r="C6">
        <v>7440</v>
      </c>
      <c r="D6">
        <v>2640</v>
      </c>
      <c r="E6">
        <v>550</v>
      </c>
      <c r="F6">
        <v>120</v>
      </c>
      <c r="G6">
        <v>1000</v>
      </c>
      <c r="H6">
        <v>1340</v>
      </c>
      <c r="I6">
        <v>1675</v>
      </c>
      <c r="J6">
        <v>4715</v>
      </c>
      <c r="K6">
        <v>680</v>
      </c>
      <c r="L6">
        <v>4845</v>
      </c>
      <c r="M6">
        <v>1140</v>
      </c>
      <c r="N6">
        <v>100</v>
      </c>
      <c r="O6">
        <v>1850</v>
      </c>
      <c r="P6">
        <v>5150</v>
      </c>
      <c r="Q6">
        <v>3000</v>
      </c>
      <c r="R6">
        <v>2400</v>
      </c>
      <c r="S6">
        <v>0</v>
      </c>
      <c r="T6">
        <v>5750</v>
      </c>
      <c r="U6">
        <f>L6-J6-K6+E6</f>
        <v>0</v>
      </c>
      <c r="V6">
        <f>T6-P6-Q6+R6-S6</f>
        <v>0</v>
      </c>
    </row>
  </sheetData>
  <autoFilter ref="A1:V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2026-09-11T10:26:10Z</dcterms:created>
  <dcterms:modified xsi:type="dcterms:W3CDTF">2026-09-27T17:13:53Z</dcterms:modified>
  <cp:category/>
  <cp:contentStatus/>
</cp:coreProperties>
</file>